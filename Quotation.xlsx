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Disk F_4282023147\New folder\Quotation\"/>
    </mc:Choice>
  </mc:AlternateContent>
  <xr:revisionPtr revIDLastSave="0" documentId="13_ncr:1_{54DEF7A6-AB55-4AFB-87C0-D79AF92172F7}" xr6:coauthVersionLast="47" xr6:coauthVersionMax="47" xr10:uidLastSave="{00000000-0000-0000-0000-000000000000}"/>
  <bookViews>
    <workbookView xWindow="7125" yWindow="4185" windowWidth="21600" windowHeight="11295" activeTab="1" xr2:uid="{EDEF4B00-58B9-4E94-BC02-C9655EF2DE89}"/>
  </bookViews>
  <sheets>
    <sheet name="ADITYA COMPUTER" sheetId="2" r:id="rId1"/>
    <sheet name="Mangala It" sheetId="5" r:id="rId2"/>
    <sheet name="GDS Techno Service" sheetId="4" r:id="rId3"/>
    <sheet name="Sheet2" sheetId="7" r:id="rId4"/>
  </sheets>
  <definedNames>
    <definedName name="_xlnm.Print_Area" localSheetId="2">'GDS Techno Service'!$B$1:$H$29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5" l="1"/>
  <c r="G10" i="5"/>
  <c r="F10" i="5"/>
  <c r="F9" i="5"/>
  <c r="G9" i="5" s="1"/>
  <c r="H9" i="5" s="1"/>
  <c r="F11" i="4"/>
  <c r="G11" i="4" s="1"/>
  <c r="H11" i="4" s="1"/>
  <c r="F20" i="7"/>
  <c r="G20" i="7" s="1"/>
  <c r="H20" i="7" s="1"/>
  <c r="F19" i="7"/>
  <c r="G19" i="7" s="1"/>
  <c r="H19" i="7" s="1"/>
  <c r="F18" i="7"/>
  <c r="G18" i="7" s="1"/>
  <c r="H18" i="7" s="1"/>
  <c r="F17" i="7"/>
  <c r="G17" i="7" s="1"/>
  <c r="H17" i="7" s="1"/>
  <c r="F16" i="7"/>
  <c r="G16" i="7" s="1"/>
  <c r="H16" i="7" s="1"/>
  <c r="F15" i="7"/>
  <c r="G15" i="7" s="1"/>
  <c r="H15" i="7" s="1"/>
  <c r="F14" i="7"/>
  <c r="G14" i="7" s="1"/>
  <c r="H14" i="7" s="1"/>
  <c r="F13" i="7"/>
  <c r="G13" i="7" s="1"/>
  <c r="H13" i="7" s="1"/>
  <c r="F12" i="7"/>
  <c r="G12" i="7" s="1"/>
  <c r="H12" i="7" s="1"/>
  <c r="F11" i="7"/>
  <c r="G11" i="7" s="1"/>
  <c r="H11" i="7" s="1"/>
  <c r="H14" i="2"/>
  <c r="I14" i="2" s="1"/>
  <c r="J14" i="2" s="1"/>
  <c r="J18" i="2" s="1"/>
  <c r="H20" i="4" l="1"/>
  <c r="H21" i="7"/>
</calcChain>
</file>

<file path=xl/sharedStrings.xml><?xml version="1.0" encoding="utf-8"?>
<sst xmlns="http://schemas.openxmlformats.org/spreadsheetml/2006/main" count="96" uniqueCount="57">
  <si>
    <t xml:space="preserve">To, </t>
  </si>
  <si>
    <t>International Institute of Business Studies</t>
  </si>
  <si>
    <t xml:space="preserve"> Please find the enclosed offer for your kind perusal and consideration.</t>
  </si>
  <si>
    <t>Sl. No</t>
  </si>
  <si>
    <t>Product / Model</t>
  </si>
  <si>
    <t>Description</t>
  </si>
  <si>
    <t>HSN</t>
  </si>
  <si>
    <t>Qty</t>
  </si>
  <si>
    <t>Rate</t>
  </si>
  <si>
    <t>Total</t>
  </si>
  <si>
    <t>GST %</t>
  </si>
  <si>
    <t>Amount</t>
  </si>
  <si>
    <t>Terms &amp; Conditions</t>
  </si>
  <si>
    <t xml:space="preserve">Taxes: All Inclusive </t>
  </si>
  <si>
    <t>Payment: 100% as Advance</t>
  </si>
  <si>
    <t>Delivery: within 7 working days</t>
  </si>
  <si>
    <t>An electronic copy does not carry any signature.</t>
  </si>
  <si>
    <t>.</t>
  </si>
  <si>
    <t>ADITYA COMPUTER</t>
  </si>
  <si>
    <t>1080, 1ST Floor, 12th Cross, Kadandramapuram
Malleshwaram, Bengaluru-560003
Mob: 9342533253.</t>
  </si>
  <si>
    <t xml:space="preserve">Dear Sir </t>
  </si>
  <si>
    <t>Bangalore</t>
  </si>
  <si>
    <t>Dear Sir /</t>
  </si>
  <si>
    <t>SCS SAI COMPUTER SERVICES</t>
  </si>
  <si>
    <t>Sales, Service, Networking &amp; Maintenance of Computer Peripherals</t>
  </si>
  <si>
    <t xml:space="preserve">        20/4, 4th Cross, Ganesha Block, R.T. Nagar, Bangalore -560032</t>
  </si>
  <si>
    <t xml:space="preserve">            Phone : 080 23434428   E-Mail : scs@net4india.com</t>
  </si>
  <si>
    <t>Mangala IT Solutions</t>
  </si>
  <si>
    <t>#970, L.I.G , 2nd Stage, 16th B Cross Rd, Housing Board Colony, Yelahanka New Town, Bengaluru, Karnataka 560064   Phone: 078993 40027</t>
  </si>
  <si>
    <t xml:space="preserve">   Delivery: within 7 working days</t>
  </si>
  <si>
    <t>Office 365</t>
  </si>
  <si>
    <t>office 365 woth 1 TB Cloud 
Storage ( 1 year)</t>
  </si>
  <si>
    <t>Date: 31.01.2026</t>
  </si>
  <si>
    <t>IIBS</t>
  </si>
  <si>
    <t>Rupees:One Lakh Fifty-Seven Thousand Two Hundred Fifteen</t>
  </si>
  <si>
    <t>24' Display Dell</t>
  </si>
  <si>
    <t>Dell keyboard</t>
  </si>
  <si>
    <t>Dell  Mouse</t>
  </si>
  <si>
    <t>AMD 3400G CPU</t>
  </si>
  <si>
    <t>Asus Mother Board</t>
  </si>
  <si>
    <t>16 GB Ram EVM</t>
  </si>
  <si>
    <t>512GB SSD EVM</t>
  </si>
  <si>
    <t>4 GB Zebronic card</t>
  </si>
  <si>
    <t xml:space="preserve">cabinet Zebronic </t>
  </si>
  <si>
    <t>400watts SMPS</t>
  </si>
  <si>
    <t xml:space="preserve">         Rupees:  Two Lakh Ninety Two Thousand Two Hundred Eighty Six Only</t>
  </si>
  <si>
    <t>Date: 19.02.2026</t>
  </si>
  <si>
    <t xml:space="preserve">                                        Date: 06.07.2026</t>
  </si>
  <si>
    <t>GDS Techno Service</t>
  </si>
  <si>
    <t xml:space="preserve">     No. 120, 40 Feet Road, Phase 2, WOC Road, Opposite City Hospital, Manjunath Nagar, Bangalore - 560010</t>
  </si>
  <si>
    <t xml:space="preserve">            Phone :9448151117</t>
  </si>
  <si>
    <t>Date: 06.07.2026</t>
  </si>
  <si>
    <t xml:space="preserve">Gobbler Cash Counting Machine </t>
  </si>
  <si>
    <t xml:space="preserve">         Rupees: Twelve Thousand Seven Hundred Forty Four Only.</t>
  </si>
  <si>
    <t>Rupees: Thirty  Two Thousand Eight Hundred Four  Only</t>
  </si>
  <si>
    <t>Epson 13310 Printer Ink Tank Printer</t>
  </si>
  <si>
    <t>Canon LBP 3010B  Multi Function Printer (Print, Scan &amp; Copy)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</si>
</sst>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28"/>
      <color rgb="FFFF0000"/>
      <name val="Kristen ITC"/>
      <family val="4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24"/>
      <color theme="1"/>
      <name val="Times New Roman"/>
      <family val="1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28"/>
      <color rgb="FFFF0000"/>
      <name val="Corbe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mbria"/>
      <family val="1"/>
    </font>
    <font>
      <b/>
      <sz val="28"/>
      <color rgb="FFC00000"/>
      <name val="Colonna MT"/>
      <family val="5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60">
    <xf numFmtId="0" fontId="0" fillId="0" borderId="0" xfId="0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11" xfId="0" applyFont="1" applyBorder="1" applyAlignment="1">
      <alignment vertical="center" wrapText="1"/>
    </xf>
    <xf numFmtId="0" fontId="0" fillId="0" borderId="4" xfId="0" applyBorder="1"/>
    <xf numFmtId="0" fontId="0" fillId="0" borderId="3" xfId="0" applyBorder="1"/>
    <xf numFmtId="0" fontId="0" fillId="0" borderId="12" xfId="0" applyBorder="1" applyAlignment="1">
      <alignment horizontal="center"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/>
    </xf>
    <xf numFmtId="0" fontId="2" fillId="0" borderId="14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left" vertical="center" indent="15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4" xfId="0" applyFont="1" applyBorder="1" applyAlignment="1">
      <alignment horizontal="left" vertical="center" indent="15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12" xfId="0" applyBorder="1"/>
    <xf numFmtId="0" fontId="0" fillId="0" borderId="18" xfId="0" applyBorder="1"/>
    <xf numFmtId="0" fontId="0" fillId="0" borderId="19" xfId="0" applyBorder="1"/>
    <xf numFmtId="0" fontId="0" fillId="0" borderId="25" xfId="0" applyBorder="1"/>
    <xf numFmtId="0" fontId="7" fillId="0" borderId="14" xfId="0" applyFont="1" applyBorder="1" applyAlignment="1">
      <alignment vertical="center" wrapText="1"/>
    </xf>
    <xf numFmtId="0" fontId="0" fillId="0" borderId="31" xfId="0" applyBorder="1"/>
    <xf numFmtId="0" fontId="7" fillId="0" borderId="26" xfId="0" applyFont="1" applyBorder="1" applyAlignment="1">
      <alignment vertical="center" wrapText="1"/>
    </xf>
    <xf numFmtId="0" fontId="0" fillId="0" borderId="30" xfId="0" applyBorder="1"/>
    <xf numFmtId="0" fontId="6" fillId="0" borderId="0" xfId="0" applyFont="1" applyAlignment="1">
      <alignment vertical="center"/>
    </xf>
    <xf numFmtId="0" fontId="0" fillId="0" borderId="22" xfId="0" applyBorder="1"/>
    <xf numFmtId="0" fontId="0" fillId="0" borderId="34" xfId="0" applyBorder="1"/>
    <xf numFmtId="0" fontId="7" fillId="0" borderId="33" xfId="0" applyFont="1" applyBorder="1" applyAlignment="1">
      <alignment horizontal="center" vertical="center" wrapText="1"/>
    </xf>
    <xf numFmtId="0" fontId="0" fillId="0" borderId="15" xfId="0" applyBorder="1"/>
    <xf numFmtId="0" fontId="7" fillId="0" borderId="5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16" xfId="0" applyBorder="1"/>
    <xf numFmtId="0" fontId="0" fillId="0" borderId="40" xfId="0" applyBorder="1"/>
    <xf numFmtId="0" fontId="0" fillId="0" borderId="41" xfId="0" applyBorder="1"/>
    <xf numFmtId="0" fontId="0" fillId="0" borderId="7" xfId="0" applyBorder="1"/>
    <xf numFmtId="0" fontId="0" fillId="0" borderId="2" xfId="0" applyBorder="1"/>
    <xf numFmtId="0" fontId="0" fillId="0" borderId="28" xfId="0" applyBorder="1"/>
    <xf numFmtId="0" fontId="0" fillId="0" borderId="35" xfId="0" applyBorder="1" applyAlignment="1">
      <alignment horizontal="center"/>
    </xf>
    <xf numFmtId="0" fontId="7" fillId="0" borderId="29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25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14" fillId="0" borderId="12" xfId="0" applyFont="1" applyBorder="1"/>
    <xf numFmtId="0" fontId="9" fillId="0" borderId="12" xfId="0" applyFont="1" applyBorder="1" applyAlignment="1">
      <alignment wrapText="1"/>
    </xf>
    <xf numFmtId="43" fontId="9" fillId="0" borderId="13" xfId="1" applyFont="1" applyBorder="1" applyAlignment="1">
      <alignment wrapText="1"/>
    </xf>
    <xf numFmtId="0" fontId="7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43" fontId="7" fillId="0" borderId="12" xfId="1" applyFont="1" applyBorder="1" applyAlignment="1">
      <alignment horizontal="center" vertical="center" wrapText="1"/>
    </xf>
    <xf numFmtId="0" fontId="0" fillId="0" borderId="35" xfId="0" applyBorder="1"/>
    <xf numFmtId="0" fontId="0" fillId="0" borderId="43" xfId="0" applyBorder="1"/>
    <xf numFmtId="0" fontId="0" fillId="0" borderId="44" xfId="0" applyBorder="1"/>
    <xf numFmtId="0" fontId="6" fillId="0" borderId="0" xfId="0" applyFont="1" applyAlignment="1">
      <alignment horizontal="center" vertical="center"/>
    </xf>
    <xf numFmtId="0" fontId="0" fillId="0" borderId="31" xfId="0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24" xfId="0" applyFont="1" applyBorder="1" applyAlignment="1">
      <alignment vertical="center" wrapText="1"/>
    </xf>
    <xf numFmtId="2" fontId="9" fillId="0" borderId="0" xfId="0" applyNumberFormat="1" applyFont="1" applyAlignment="1">
      <alignment vertical="center" wrapText="1"/>
    </xf>
    <xf numFmtId="0" fontId="2" fillId="0" borderId="15" xfId="0" applyFont="1" applyBorder="1" applyAlignment="1">
      <alignment vertical="center" wrapText="1"/>
    </xf>
    <xf numFmtId="43" fontId="2" fillId="0" borderId="15" xfId="1" applyFont="1" applyBorder="1" applyAlignment="1">
      <alignment vertical="center" wrapText="1"/>
    </xf>
    <xf numFmtId="0" fontId="7" fillId="0" borderId="4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/>
    </xf>
    <xf numFmtId="3" fontId="0" fillId="0" borderId="20" xfId="0" applyNumberFormat="1" applyBorder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43" fontId="7" fillId="0" borderId="13" xfId="1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49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/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5" xfId="0" applyFont="1" applyBorder="1" applyAlignment="1">
      <alignment horizontal="right" vertical="center" wrapText="1"/>
    </xf>
    <xf numFmtId="0" fontId="7" fillId="0" borderId="1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0" borderId="15" xfId="0" applyFont="1" applyBorder="1" applyAlignment="1">
      <alignment horizontal="right" vertical="center" wrapText="1"/>
    </xf>
    <xf numFmtId="0" fontId="5" fillId="0" borderId="1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2" fillId="0" borderId="15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5" fillId="0" borderId="24" xfId="0" applyFont="1" applyBorder="1" applyAlignment="1">
      <alignment vertical="center" wrapText="1"/>
    </xf>
    <xf numFmtId="0" fontId="5" fillId="0" borderId="46" xfId="0" applyFont="1" applyBorder="1" applyAlignment="1">
      <alignment vertical="center" wrapText="1"/>
    </xf>
    <xf numFmtId="43" fontId="9" fillId="0" borderId="27" xfId="1" applyFont="1" applyBorder="1" applyAlignment="1">
      <alignment vertical="center" wrapText="1"/>
    </xf>
    <xf numFmtId="43" fontId="9" fillId="0" borderId="45" xfId="1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43" fontId="9" fillId="0" borderId="13" xfId="1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A646-B998-4B23-A75C-F4C2265F0D8F}">
  <sheetPr>
    <pageSetUpPr fitToPage="1"/>
  </sheetPr>
  <dimension ref="B1:J42"/>
  <sheetViews>
    <sheetView workbookViewId="0">
      <selection activeCell="C1" sqref="C1"/>
    </sheetView>
  </sheetViews>
  <sheetFormatPr defaultRowHeight="15" x14ac:dyDescent="0.25"/>
  <cols>
    <col min="3" max="3" width="19.7109375" customWidth="1"/>
    <col min="4" max="4" width="22.28515625" customWidth="1"/>
    <col min="5" max="5" width="8.5703125" customWidth="1"/>
    <col min="6" max="6" width="8.42578125" style="4" customWidth="1"/>
    <col min="7" max="7" width="9.140625" style="4"/>
    <col min="8" max="8" width="9.85546875" style="4" bestFit="1" customWidth="1"/>
    <col min="9" max="9" width="9.140625" style="4"/>
    <col min="10" max="10" width="9.7109375" style="4" customWidth="1"/>
  </cols>
  <sheetData>
    <row r="1" spans="2:10" ht="39.75" x14ac:dyDescent="0.25">
      <c r="B1" s="22" t="s">
        <v>18</v>
      </c>
      <c r="C1" s="10"/>
      <c r="D1" s="10"/>
      <c r="E1" s="10"/>
      <c r="F1" s="11"/>
      <c r="G1" s="11"/>
      <c r="H1" s="11"/>
      <c r="I1" s="11"/>
      <c r="J1" s="12"/>
    </row>
    <row r="2" spans="2:10" ht="37.5" customHeight="1" x14ac:dyDescent="0.25">
      <c r="B2" s="112" t="s">
        <v>19</v>
      </c>
      <c r="C2" s="113"/>
      <c r="D2" s="113"/>
      <c r="E2" s="113"/>
      <c r="F2" s="113"/>
      <c r="G2" s="113"/>
      <c r="H2" s="113"/>
      <c r="I2" s="113"/>
      <c r="J2" s="114"/>
    </row>
    <row r="3" spans="2:10" x14ac:dyDescent="0.25">
      <c r="B3" s="23"/>
      <c r="J3" s="14"/>
    </row>
    <row r="4" spans="2:10" x14ac:dyDescent="0.25">
      <c r="B4" s="24"/>
      <c r="G4" s="115" t="s">
        <v>32</v>
      </c>
      <c r="H4" s="115"/>
      <c r="I4" s="115"/>
      <c r="J4" s="14"/>
    </row>
    <row r="5" spans="2:10" x14ac:dyDescent="0.25">
      <c r="B5" s="25"/>
      <c r="J5" s="14"/>
    </row>
    <row r="6" spans="2:10" ht="15.75" x14ac:dyDescent="0.25">
      <c r="B6" s="15" t="s">
        <v>0</v>
      </c>
      <c r="J6" s="14"/>
    </row>
    <row r="7" spans="2:10" ht="15.75" x14ac:dyDescent="0.25">
      <c r="B7" s="15" t="s">
        <v>33</v>
      </c>
      <c r="J7" s="14"/>
    </row>
    <row r="8" spans="2:10" ht="15.75" x14ac:dyDescent="0.25">
      <c r="B8" s="15"/>
      <c r="J8" s="14"/>
    </row>
    <row r="9" spans="2:10" ht="15.75" x14ac:dyDescent="0.25">
      <c r="B9" s="15"/>
      <c r="J9" s="14"/>
    </row>
    <row r="10" spans="2:10" ht="15.75" x14ac:dyDescent="0.25">
      <c r="B10" s="15" t="s">
        <v>20</v>
      </c>
      <c r="J10" s="14"/>
    </row>
    <row r="11" spans="2:10" ht="15.75" x14ac:dyDescent="0.25">
      <c r="B11" s="15" t="s">
        <v>2</v>
      </c>
      <c r="J11" s="14"/>
    </row>
    <row r="12" spans="2:10" ht="15.75" x14ac:dyDescent="0.25">
      <c r="B12" s="15"/>
      <c r="J12" s="14"/>
    </row>
    <row r="13" spans="2:10" ht="31.5" x14ac:dyDescent="0.25">
      <c r="B13" s="26" t="s">
        <v>3</v>
      </c>
      <c r="C13" s="20" t="s">
        <v>4</v>
      </c>
      <c r="D13" s="20" t="s">
        <v>5</v>
      </c>
      <c r="E13" s="20" t="s">
        <v>6</v>
      </c>
      <c r="F13" s="21" t="s">
        <v>7</v>
      </c>
      <c r="G13" s="21" t="s">
        <v>8</v>
      </c>
      <c r="H13" s="21" t="s">
        <v>9</v>
      </c>
      <c r="I13" s="21" t="s">
        <v>10</v>
      </c>
      <c r="J13" s="27" t="s">
        <v>11</v>
      </c>
    </row>
    <row r="14" spans="2:10" ht="31.5" customHeight="1" x14ac:dyDescent="0.25">
      <c r="B14" s="117">
        <v>1</v>
      </c>
      <c r="C14" s="118" t="s">
        <v>30</v>
      </c>
      <c r="D14" s="118" t="s">
        <v>31</v>
      </c>
      <c r="E14" s="118"/>
      <c r="F14" s="118">
        <v>20</v>
      </c>
      <c r="G14" s="118">
        <v>7700</v>
      </c>
      <c r="H14" s="120">
        <f>G14*F14</f>
        <v>154000</v>
      </c>
      <c r="I14" s="119">
        <f>H14*18%</f>
        <v>27720</v>
      </c>
      <c r="J14" s="121">
        <f>I14+H14</f>
        <v>181720</v>
      </c>
    </row>
    <row r="15" spans="2:10" ht="15.75" customHeight="1" x14ac:dyDescent="0.25">
      <c r="B15" s="117"/>
      <c r="C15" s="118"/>
      <c r="D15" s="118"/>
      <c r="E15" s="118"/>
      <c r="F15" s="118"/>
      <c r="G15" s="118"/>
      <c r="H15" s="120"/>
      <c r="I15" s="119"/>
      <c r="J15" s="121"/>
    </row>
    <row r="16" spans="2:10" ht="31.5" customHeight="1" x14ac:dyDescent="0.25">
      <c r="B16" s="117"/>
      <c r="C16" s="119"/>
      <c r="D16" s="118"/>
      <c r="E16" s="118"/>
      <c r="F16" s="118"/>
      <c r="G16" s="119"/>
      <c r="H16" s="118"/>
      <c r="I16" s="119"/>
      <c r="J16" s="116"/>
    </row>
    <row r="17" spans="2:10" ht="15.75" customHeight="1" x14ac:dyDescent="0.25">
      <c r="B17" s="117"/>
      <c r="C17" s="119"/>
      <c r="D17" s="118"/>
      <c r="E17" s="118"/>
      <c r="F17" s="118"/>
      <c r="G17" s="119"/>
      <c r="H17" s="118"/>
      <c r="I17" s="119"/>
      <c r="J17" s="116"/>
    </row>
    <row r="18" spans="2:10" ht="15.75" customHeight="1" x14ac:dyDescent="0.25">
      <c r="B18" s="122" t="s">
        <v>34</v>
      </c>
      <c r="C18" s="123"/>
      <c r="D18" s="123"/>
      <c r="E18" s="123"/>
      <c r="F18" s="123"/>
      <c r="G18" s="123"/>
      <c r="H18" s="123"/>
      <c r="I18" s="123" t="s">
        <v>9</v>
      </c>
      <c r="J18" s="124">
        <f>J14</f>
        <v>181720</v>
      </c>
    </row>
    <row r="19" spans="2:10" x14ac:dyDescent="0.25">
      <c r="B19" s="122"/>
      <c r="C19" s="123"/>
      <c r="D19" s="123"/>
      <c r="E19" s="123"/>
      <c r="F19" s="123"/>
      <c r="G19" s="123"/>
      <c r="H19" s="123"/>
      <c r="I19" s="123"/>
      <c r="J19" s="124"/>
    </row>
    <row r="20" spans="2:10" ht="15.75" x14ac:dyDescent="0.25">
      <c r="B20" s="15"/>
      <c r="J20" s="14"/>
    </row>
    <row r="21" spans="2:10" ht="15.75" x14ac:dyDescent="0.25">
      <c r="B21" s="15" t="s">
        <v>15</v>
      </c>
      <c r="J21" s="14"/>
    </row>
    <row r="22" spans="2:10" x14ac:dyDescent="0.25">
      <c r="B22" s="16"/>
      <c r="J22" s="14"/>
    </row>
    <row r="23" spans="2:10" ht="15.75" thickBot="1" x14ac:dyDescent="0.3">
      <c r="B23" s="8"/>
      <c r="C23" s="17" t="s">
        <v>16</v>
      </c>
      <c r="D23" s="7"/>
      <c r="E23" s="7"/>
      <c r="F23" s="18"/>
      <c r="G23" s="18"/>
      <c r="H23" s="18"/>
      <c r="I23" s="18"/>
      <c r="J23" s="19"/>
    </row>
    <row r="24" spans="2:10" x14ac:dyDescent="0.25">
      <c r="B24" s="3" t="s">
        <v>17</v>
      </c>
    </row>
    <row r="25" spans="2:10" x14ac:dyDescent="0.25">
      <c r="B25" s="1"/>
    </row>
    <row r="26" spans="2:10" ht="15.75" x14ac:dyDescent="0.25">
      <c r="B26" s="2"/>
    </row>
    <row r="27" spans="2:10" ht="15.75" x14ac:dyDescent="0.25">
      <c r="B27" s="2"/>
    </row>
    <row r="28" spans="2:10" ht="15.75" x14ac:dyDescent="0.25">
      <c r="B28" s="2"/>
    </row>
    <row r="29" spans="2:10" ht="15.75" x14ac:dyDescent="0.25">
      <c r="B29" s="2"/>
    </row>
    <row r="30" spans="2:10" ht="15.75" x14ac:dyDescent="0.25">
      <c r="B30" s="2"/>
    </row>
    <row r="31" spans="2:10" ht="15.75" x14ac:dyDescent="0.25">
      <c r="B31" s="2"/>
    </row>
    <row r="32" spans="2:10" ht="15.75" x14ac:dyDescent="0.25">
      <c r="B32" s="2"/>
    </row>
    <row r="33" spans="2:5" ht="15.75" x14ac:dyDescent="0.25">
      <c r="B33" s="2"/>
    </row>
    <row r="34" spans="2:5" ht="15.75" x14ac:dyDescent="0.25">
      <c r="B34" s="2"/>
    </row>
    <row r="35" spans="2:5" ht="15.75" x14ac:dyDescent="0.25">
      <c r="B35" s="2"/>
    </row>
    <row r="36" spans="2:5" ht="15.75" x14ac:dyDescent="0.25">
      <c r="B36" s="2"/>
    </row>
    <row r="37" spans="2:5" ht="15.75" x14ac:dyDescent="0.25">
      <c r="B37" s="2"/>
    </row>
    <row r="38" spans="2:5" ht="15.75" x14ac:dyDescent="0.25">
      <c r="B38" s="2"/>
    </row>
    <row r="39" spans="2:5" ht="15.75" x14ac:dyDescent="0.25">
      <c r="B39" s="2"/>
    </row>
    <row r="40" spans="2:5" x14ac:dyDescent="0.25">
      <c r="B40" s="3"/>
    </row>
    <row r="41" spans="2:5" x14ac:dyDescent="0.25">
      <c r="E41" s="3"/>
    </row>
    <row r="42" spans="2:5" x14ac:dyDescent="0.25">
      <c r="B42" s="3"/>
    </row>
  </sheetData>
  <mergeCells count="23">
    <mergeCell ref="G14:G15"/>
    <mergeCell ref="H14:H15"/>
    <mergeCell ref="I14:I15"/>
    <mergeCell ref="J14:J15"/>
    <mergeCell ref="B18:H19"/>
    <mergeCell ref="I18:I19"/>
    <mergeCell ref="J18:J19"/>
    <mergeCell ref="B2:J2"/>
    <mergeCell ref="G4:I4"/>
    <mergeCell ref="J16:J17"/>
    <mergeCell ref="B14:B15"/>
    <mergeCell ref="C14:C15"/>
    <mergeCell ref="D14:D15"/>
    <mergeCell ref="E14:E15"/>
    <mergeCell ref="F14:F15"/>
    <mergeCell ref="G16:G17"/>
    <mergeCell ref="H16:H17"/>
    <mergeCell ref="I16:I17"/>
    <mergeCell ref="B16:B17"/>
    <mergeCell ref="C16:C17"/>
    <mergeCell ref="D16:D17"/>
    <mergeCell ref="E16:E17"/>
    <mergeCell ref="F16:F17"/>
  </mergeCells>
  <pageMargins left="0.70866141732283472" right="0.70866141732283472" top="0.74803149606299213" bottom="0.74803149606299213" header="0.31496062992125984" footer="0.31496062992125984"/>
  <pageSetup paperSize="9" scale="7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50CC-34B5-42D9-AB02-3822962C8E12}">
  <sheetPr>
    <pageSetUpPr fitToPage="1"/>
  </sheetPr>
  <dimension ref="B1:H23"/>
  <sheetViews>
    <sheetView tabSelected="1" workbookViewId="0">
      <selection activeCell="B10" sqref="B10"/>
    </sheetView>
  </sheetViews>
  <sheetFormatPr defaultRowHeight="15" x14ac:dyDescent="0.25"/>
  <cols>
    <col min="2" max="2" width="6" customWidth="1"/>
    <col min="3" max="3" width="23.140625" customWidth="1"/>
    <col min="4" max="4" width="10.7109375" customWidth="1"/>
    <col min="5" max="5" width="11.85546875" customWidth="1"/>
    <col min="6" max="6" width="11.42578125" customWidth="1"/>
    <col min="8" max="8" width="13.140625" bestFit="1" customWidth="1"/>
  </cols>
  <sheetData>
    <row r="1" spans="2:8" ht="38.25" x14ac:dyDescent="0.25">
      <c r="B1" s="105" t="s">
        <v>27</v>
      </c>
      <c r="C1" s="106"/>
      <c r="D1" s="106"/>
      <c r="E1" s="106"/>
      <c r="F1" s="106"/>
      <c r="G1" s="106"/>
      <c r="H1" s="107"/>
    </row>
    <row r="2" spans="2:8" ht="36.75" customHeight="1" thickBot="1" x14ac:dyDescent="0.3">
      <c r="B2" s="108" t="s">
        <v>28</v>
      </c>
      <c r="C2" s="109"/>
      <c r="D2" s="109"/>
      <c r="E2" s="109"/>
      <c r="F2" s="109"/>
      <c r="G2" s="109"/>
      <c r="H2" s="110"/>
    </row>
    <row r="3" spans="2:8" x14ac:dyDescent="0.25">
      <c r="B3" s="13"/>
      <c r="E3" s="111" t="s">
        <v>47</v>
      </c>
      <c r="F3" s="111"/>
      <c r="G3" s="111"/>
      <c r="H3" s="40"/>
    </row>
    <row r="4" spans="2:8" ht="15.75" x14ac:dyDescent="0.25">
      <c r="B4" s="15" t="s">
        <v>0</v>
      </c>
      <c r="H4" s="40"/>
    </row>
    <row r="5" spans="2:8" ht="15.75" x14ac:dyDescent="0.25">
      <c r="B5" s="15" t="s">
        <v>1</v>
      </c>
      <c r="H5" s="40"/>
    </row>
    <row r="6" spans="2:8" ht="15.75" x14ac:dyDescent="0.25">
      <c r="B6" s="15" t="s">
        <v>20</v>
      </c>
      <c r="C6" s="2"/>
      <c r="D6" s="2"/>
      <c r="H6" s="40"/>
    </row>
    <row r="7" spans="2:8" ht="15.75" x14ac:dyDescent="0.25">
      <c r="B7" s="15" t="s">
        <v>2</v>
      </c>
      <c r="H7" s="40"/>
    </row>
    <row r="8" spans="2:8" ht="31.5" x14ac:dyDescent="0.25">
      <c r="B8" s="84" t="s">
        <v>3</v>
      </c>
      <c r="C8" s="84" t="s">
        <v>4</v>
      </c>
      <c r="D8" s="84" t="s">
        <v>7</v>
      </c>
      <c r="E8" s="84" t="s">
        <v>8</v>
      </c>
      <c r="F8" s="84" t="s">
        <v>9</v>
      </c>
      <c r="G8" s="84" t="s">
        <v>10</v>
      </c>
      <c r="H8" s="84" t="s">
        <v>11</v>
      </c>
    </row>
    <row r="9" spans="2:8" s="83" customFormat="1" ht="79.5" customHeight="1" x14ac:dyDescent="0.25">
      <c r="B9" s="77">
        <v>1</v>
      </c>
      <c r="C9" s="157" t="s">
        <v>55</v>
      </c>
      <c r="D9" s="158">
        <v>2</v>
      </c>
      <c r="E9" s="158">
        <v>11750</v>
      </c>
      <c r="F9" s="77">
        <f>E9*D9</f>
        <v>23500</v>
      </c>
      <c r="G9" s="77">
        <f>F9*18%</f>
        <v>4230</v>
      </c>
      <c r="H9" s="77">
        <f t="shared" ref="H9" si="0">G9+F9</f>
        <v>27730</v>
      </c>
    </row>
    <row r="10" spans="2:8" ht="27" customHeight="1" x14ac:dyDescent="0.25">
      <c r="B10" s="159">
        <v>2</v>
      </c>
      <c r="C10" s="9" t="s">
        <v>56</v>
      </c>
      <c r="D10" s="159">
        <v>1</v>
      </c>
      <c r="E10" s="28">
        <v>17800</v>
      </c>
      <c r="F10" s="159">
        <f>E10*D10</f>
        <v>17800</v>
      </c>
      <c r="G10" s="159">
        <f>F10*18%</f>
        <v>3204</v>
      </c>
      <c r="H10" s="159">
        <f>G10+F10</f>
        <v>21004</v>
      </c>
    </row>
    <row r="11" spans="2:8" ht="27" customHeight="1" x14ac:dyDescent="0.25">
      <c r="B11" s="26"/>
      <c r="D11" s="20"/>
      <c r="F11" s="20"/>
      <c r="G11" s="20"/>
      <c r="H11" s="86"/>
    </row>
    <row r="12" spans="2:8" ht="27" customHeight="1" x14ac:dyDescent="0.25">
      <c r="B12" s="26"/>
      <c r="D12" s="20"/>
      <c r="F12" s="20"/>
      <c r="G12" s="20"/>
      <c r="H12" s="86"/>
    </row>
    <row r="13" spans="2:8" ht="27" customHeight="1" x14ac:dyDescent="0.25">
      <c r="B13" s="26"/>
      <c r="D13" s="20"/>
      <c r="F13" s="20"/>
      <c r="G13" s="20"/>
      <c r="H13" s="86"/>
    </row>
    <row r="14" spans="2:8" ht="27" customHeight="1" x14ac:dyDescent="0.25">
      <c r="B14" s="26"/>
      <c r="D14" s="20"/>
      <c r="F14" s="20"/>
      <c r="G14" s="20"/>
      <c r="H14" s="86"/>
    </row>
    <row r="15" spans="2:8" ht="27" customHeight="1" x14ac:dyDescent="0.25">
      <c r="B15" s="26"/>
      <c r="D15" s="20"/>
      <c r="F15" s="20"/>
      <c r="G15" s="20"/>
      <c r="H15" s="86"/>
    </row>
    <row r="16" spans="2:8" ht="27" customHeight="1" x14ac:dyDescent="0.25">
      <c r="B16" s="26"/>
      <c r="D16" s="20"/>
      <c r="E16" s="5"/>
      <c r="F16" s="20"/>
      <c r="G16" s="20"/>
      <c r="H16" s="86"/>
    </row>
    <row r="17" spans="2:8" ht="37.5" customHeight="1" thickBot="1" x14ac:dyDescent="0.3">
      <c r="B17" s="32"/>
      <c r="C17" s="82"/>
      <c r="D17" s="82"/>
      <c r="E17" s="82"/>
      <c r="F17" s="82"/>
      <c r="G17" s="85"/>
      <c r="H17" s="87"/>
    </row>
    <row r="18" spans="2:8" ht="38.25" customHeight="1" thickBot="1" x14ac:dyDescent="0.3">
      <c r="B18" s="88"/>
      <c r="C18" s="103" t="s">
        <v>54</v>
      </c>
      <c r="D18" s="103"/>
      <c r="E18" s="103"/>
      <c r="F18" s="103"/>
      <c r="G18" s="103"/>
      <c r="H18" s="104"/>
    </row>
    <row r="19" spans="2:8" ht="25.5" customHeight="1" thickBot="1" x14ac:dyDescent="0.3">
      <c r="B19" s="97" t="s">
        <v>29</v>
      </c>
      <c r="C19" s="98"/>
      <c r="D19" s="98"/>
      <c r="E19" s="98"/>
      <c r="F19" s="98"/>
      <c r="G19" s="98"/>
      <c r="H19" s="99"/>
    </row>
    <row r="20" spans="2:8" ht="23.25" customHeight="1" thickBot="1" x14ac:dyDescent="0.3">
      <c r="B20" s="100" t="s">
        <v>16</v>
      </c>
      <c r="C20" s="101"/>
      <c r="D20" s="101"/>
      <c r="E20" s="101"/>
      <c r="F20" s="101"/>
      <c r="G20" s="101"/>
      <c r="H20" s="102"/>
    </row>
    <row r="22" spans="2:8" ht="15" customHeight="1" x14ac:dyDescent="0.25"/>
    <row r="23" spans="2:8" ht="15.75" customHeight="1" x14ac:dyDescent="0.25"/>
  </sheetData>
  <mergeCells count="6">
    <mergeCell ref="B19:H19"/>
    <mergeCell ref="B20:H20"/>
    <mergeCell ref="C18:H18"/>
    <mergeCell ref="B1:H1"/>
    <mergeCell ref="B2:H2"/>
    <mergeCell ref="E3:G3"/>
  </mergeCells>
  <pageMargins left="0.7" right="0.7" top="0.75" bottom="0.75" header="0.3" footer="0.3"/>
  <pageSetup paperSize="9" scale="9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30E7-9F49-456A-B473-A9D235E54DAA}">
  <dimension ref="A1:H29"/>
  <sheetViews>
    <sheetView workbookViewId="0">
      <selection activeCell="C11" sqref="C11"/>
    </sheetView>
  </sheetViews>
  <sheetFormatPr defaultRowHeight="15" x14ac:dyDescent="0.25"/>
  <cols>
    <col min="2" max="2" width="4.42578125" customWidth="1"/>
    <col min="3" max="3" width="20.28515625" style="4" customWidth="1"/>
    <col min="4" max="4" width="9.140625" style="4"/>
    <col min="6" max="6" width="11.7109375" customWidth="1"/>
    <col min="7" max="7" width="12.140625" customWidth="1"/>
    <col min="8" max="8" width="19.5703125" customWidth="1"/>
  </cols>
  <sheetData>
    <row r="1" spans="1:8" ht="36.75" thickBot="1" x14ac:dyDescent="0.3">
      <c r="A1" s="38"/>
      <c r="B1" s="131" t="s">
        <v>48</v>
      </c>
      <c r="C1" s="132"/>
      <c r="D1" s="132"/>
      <c r="E1" s="132"/>
      <c r="F1" s="132"/>
      <c r="G1" s="132"/>
      <c r="H1" s="133"/>
    </row>
    <row r="2" spans="1:8" x14ac:dyDescent="0.25">
      <c r="A2" s="35"/>
      <c r="B2" s="134"/>
      <c r="C2" s="135"/>
      <c r="D2" s="135"/>
      <c r="E2" s="135"/>
      <c r="F2" s="135"/>
      <c r="G2" s="135"/>
      <c r="H2" s="136"/>
    </row>
    <row r="3" spans="1:8" ht="15.75" thickBot="1" x14ac:dyDescent="0.3">
      <c r="A3" s="35"/>
      <c r="B3" s="137"/>
      <c r="C3" s="138"/>
      <c r="D3" s="138"/>
      <c r="E3" s="138"/>
      <c r="F3" s="138"/>
      <c r="G3" s="138"/>
      <c r="H3" s="139"/>
    </row>
    <row r="4" spans="1:8" ht="30" x14ac:dyDescent="0.25">
      <c r="A4" s="35"/>
      <c r="B4" s="45"/>
      <c r="C4" s="75"/>
      <c r="D4" s="75"/>
      <c r="F4" s="150" t="s">
        <v>51</v>
      </c>
      <c r="G4" s="150"/>
      <c r="H4" s="151"/>
    </row>
    <row r="5" spans="1:8" ht="15.75" x14ac:dyDescent="0.25">
      <c r="A5" s="35"/>
      <c r="B5" s="42" t="s">
        <v>0</v>
      </c>
      <c r="H5" s="40"/>
    </row>
    <row r="6" spans="1:8" ht="15.75" x14ac:dyDescent="0.25">
      <c r="A6" s="35"/>
      <c r="B6" s="43" t="s">
        <v>1</v>
      </c>
      <c r="C6" s="76"/>
      <c r="D6" s="76"/>
      <c r="E6" s="37"/>
      <c r="H6" s="40"/>
    </row>
    <row r="7" spans="1:8" ht="15.75" x14ac:dyDescent="0.25">
      <c r="A7" s="35"/>
      <c r="B7" s="46" t="s">
        <v>21</v>
      </c>
      <c r="H7" s="40"/>
    </row>
    <row r="8" spans="1:8" ht="15.75" x14ac:dyDescent="0.25">
      <c r="A8" s="35"/>
      <c r="B8" s="47" t="s">
        <v>22</v>
      </c>
      <c r="H8" s="40"/>
    </row>
    <row r="9" spans="1:8" ht="16.5" thickBot="1" x14ac:dyDescent="0.3">
      <c r="A9" s="35"/>
      <c r="B9" s="42" t="s">
        <v>2</v>
      </c>
      <c r="H9" s="40"/>
    </row>
    <row r="10" spans="1:8" s="4" customFormat="1" ht="31.5" x14ac:dyDescent="0.25">
      <c r="A10" s="58"/>
      <c r="B10" s="89" t="s">
        <v>3</v>
      </c>
      <c r="C10" s="90" t="s">
        <v>4</v>
      </c>
      <c r="D10" s="90" t="s">
        <v>7</v>
      </c>
      <c r="E10" s="90" t="s">
        <v>8</v>
      </c>
      <c r="F10" s="90" t="s">
        <v>9</v>
      </c>
      <c r="G10" s="90" t="s">
        <v>10</v>
      </c>
      <c r="H10" s="91" t="s">
        <v>11</v>
      </c>
    </row>
    <row r="11" spans="1:8" s="4" customFormat="1" ht="57" customHeight="1" x14ac:dyDescent="0.25">
      <c r="A11" s="58"/>
      <c r="B11" s="95">
        <v>1</v>
      </c>
      <c r="C11" s="92" t="s">
        <v>52</v>
      </c>
      <c r="D11" s="69">
        <v>1</v>
      </c>
      <c r="E11" s="94">
        <v>10800</v>
      </c>
      <c r="F11" s="70">
        <f t="shared" ref="F11" si="0">E11*D11</f>
        <v>10800</v>
      </c>
      <c r="G11" s="71">
        <f t="shared" ref="G11" si="1">F11*18%</f>
        <v>1944</v>
      </c>
      <c r="H11" s="96">
        <f t="shared" ref="H11" si="2">G11+F11</f>
        <v>12744</v>
      </c>
    </row>
    <row r="12" spans="1:8" s="4" customFormat="1" ht="22.5" customHeight="1" x14ac:dyDescent="0.25">
      <c r="A12" s="58"/>
      <c r="B12" s="95"/>
      <c r="C12" s="93"/>
      <c r="D12" s="69"/>
      <c r="E12" s="70"/>
      <c r="F12" s="70"/>
      <c r="G12" s="71"/>
      <c r="H12" s="96"/>
    </row>
    <row r="13" spans="1:8" s="4" customFormat="1" ht="22.5" customHeight="1" x14ac:dyDescent="0.25">
      <c r="A13" s="58"/>
      <c r="B13" s="95"/>
      <c r="C13" s="93"/>
      <c r="D13" s="77"/>
      <c r="E13"/>
      <c r="F13" s="70"/>
      <c r="G13" s="71"/>
      <c r="H13" s="96"/>
    </row>
    <row r="14" spans="1:8" s="4" customFormat="1" ht="22.5" customHeight="1" x14ac:dyDescent="0.25">
      <c r="A14" s="58"/>
      <c r="B14" s="95"/>
      <c r="C14" s="93"/>
      <c r="D14" s="77"/>
      <c r="E14"/>
      <c r="F14" s="70"/>
      <c r="G14" s="71"/>
      <c r="H14" s="96"/>
    </row>
    <row r="15" spans="1:8" s="4" customFormat="1" ht="22.5" customHeight="1" x14ac:dyDescent="0.25">
      <c r="A15" s="58"/>
      <c r="B15" s="95"/>
      <c r="C15" s="93"/>
      <c r="D15" s="69"/>
      <c r="E15" s="70"/>
      <c r="F15" s="70"/>
      <c r="G15" s="71"/>
      <c r="H15" s="96"/>
    </row>
    <row r="16" spans="1:8" s="4" customFormat="1" ht="22.5" customHeight="1" x14ac:dyDescent="0.25">
      <c r="A16" s="58"/>
      <c r="B16" s="95"/>
      <c r="C16" s="93"/>
      <c r="D16" s="77"/>
      <c r="E16"/>
      <c r="F16" s="70"/>
      <c r="G16" s="71"/>
      <c r="H16" s="96"/>
    </row>
    <row r="17" spans="1:8" s="4" customFormat="1" ht="22.5" customHeight="1" x14ac:dyDescent="0.25">
      <c r="A17" s="58"/>
      <c r="B17" s="95"/>
      <c r="C17" s="93"/>
      <c r="D17" s="69"/>
      <c r="E17"/>
      <c r="F17" s="70"/>
      <c r="G17" s="71"/>
      <c r="H17" s="96"/>
    </row>
    <row r="18" spans="1:8" s="4" customFormat="1" ht="22.5" customHeight="1" x14ac:dyDescent="0.25">
      <c r="A18" s="58"/>
      <c r="B18" s="95"/>
      <c r="C18" s="93"/>
      <c r="D18" s="69"/>
      <c r="E18" s="70"/>
      <c r="F18" s="70"/>
      <c r="G18" s="71"/>
      <c r="H18" s="96"/>
    </row>
    <row r="19" spans="1:8" s="4" customFormat="1" ht="22.5" customHeight="1" x14ac:dyDescent="0.25">
      <c r="A19" s="58"/>
      <c r="B19" s="95"/>
      <c r="C19" s="9"/>
      <c r="D19" s="69"/>
      <c r="E19" s="70"/>
      <c r="F19" s="70"/>
      <c r="G19" s="71"/>
      <c r="H19" s="96"/>
    </row>
    <row r="20" spans="1:8" ht="15" customHeight="1" x14ac:dyDescent="0.25">
      <c r="A20" s="35"/>
      <c r="B20" s="140" t="s">
        <v>53</v>
      </c>
      <c r="C20" s="141"/>
      <c r="D20" s="141"/>
      <c r="E20" s="141"/>
      <c r="F20" s="142"/>
      <c r="G20" s="146"/>
      <c r="H20" s="148">
        <f>H18+H17+H16+H15+H14+H13+H12+H11</f>
        <v>12744</v>
      </c>
    </row>
    <row r="21" spans="1:8" ht="15" customHeight="1" thickBot="1" x14ac:dyDescent="0.3">
      <c r="A21" s="72"/>
      <c r="B21" s="143"/>
      <c r="C21" s="144"/>
      <c r="D21" s="144"/>
      <c r="E21" s="144"/>
      <c r="F21" s="145"/>
      <c r="G21" s="147"/>
      <c r="H21" s="149"/>
    </row>
    <row r="22" spans="1:8" ht="16.5" thickBot="1" x14ac:dyDescent="0.3">
      <c r="A22" s="35"/>
      <c r="B22" s="41"/>
      <c r="C22" s="11"/>
      <c r="D22" s="11"/>
      <c r="E22" s="10"/>
      <c r="F22" s="48"/>
      <c r="G22" s="48"/>
      <c r="H22" s="55"/>
    </row>
    <row r="23" spans="1:8" ht="15.75" customHeight="1" x14ac:dyDescent="0.25">
      <c r="A23" s="73"/>
      <c r="B23" s="41" t="s">
        <v>12</v>
      </c>
      <c r="C23" s="11"/>
      <c r="D23" s="11"/>
      <c r="E23" s="10"/>
      <c r="F23" s="10"/>
      <c r="G23" s="10"/>
      <c r="H23" s="55"/>
    </row>
    <row r="24" spans="1:8" ht="15.75" customHeight="1" x14ac:dyDescent="0.25">
      <c r="A24" s="35"/>
      <c r="B24" s="42" t="s">
        <v>13</v>
      </c>
      <c r="H24" s="40"/>
    </row>
    <row r="25" spans="1:8" ht="15.75" customHeight="1" x14ac:dyDescent="0.25">
      <c r="A25" s="35"/>
      <c r="B25" s="43" t="s">
        <v>14</v>
      </c>
      <c r="C25" s="80"/>
      <c r="D25" s="78"/>
      <c r="H25" s="40"/>
    </row>
    <row r="26" spans="1:8" ht="15.75" customHeight="1" thickBot="1" x14ac:dyDescent="0.3">
      <c r="A26" s="35"/>
      <c r="B26" s="44" t="s">
        <v>15</v>
      </c>
      <c r="C26" s="81"/>
      <c r="D26" s="79"/>
      <c r="E26" s="7"/>
      <c r="F26" s="7"/>
      <c r="G26" s="7"/>
      <c r="H26" s="56"/>
    </row>
    <row r="27" spans="1:8" ht="27" customHeight="1" x14ac:dyDescent="0.25">
      <c r="A27" s="35"/>
      <c r="B27" s="125" t="s">
        <v>49</v>
      </c>
      <c r="C27" s="126"/>
      <c r="D27" s="126"/>
      <c r="E27" s="126"/>
      <c r="F27" s="126"/>
      <c r="G27" s="126"/>
      <c r="H27" s="127"/>
    </row>
    <row r="28" spans="1:8" ht="15" customHeight="1" thickBot="1" x14ac:dyDescent="0.3">
      <c r="A28" s="74"/>
      <c r="B28" s="128" t="s">
        <v>50</v>
      </c>
      <c r="C28" s="129"/>
      <c r="D28" s="129"/>
      <c r="E28" s="129"/>
      <c r="F28" s="129"/>
      <c r="G28" s="129"/>
      <c r="H28" s="130"/>
    </row>
    <row r="29" spans="1:8" ht="15.75" customHeight="1" x14ac:dyDescent="0.25"/>
  </sheetData>
  <mergeCells count="8">
    <mergeCell ref="B27:H27"/>
    <mergeCell ref="B28:H28"/>
    <mergeCell ref="B1:H1"/>
    <mergeCell ref="B2:H3"/>
    <mergeCell ref="B20:F21"/>
    <mergeCell ref="G20:G21"/>
    <mergeCell ref="H20:H21"/>
    <mergeCell ref="F4:H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1864-8777-4E4F-A0BA-EECD63B64F9E}">
  <dimension ref="A1:H29"/>
  <sheetViews>
    <sheetView workbookViewId="0">
      <selection activeCell="E13" sqref="E13"/>
    </sheetView>
  </sheetViews>
  <sheetFormatPr defaultRowHeight="15" x14ac:dyDescent="0.25"/>
  <cols>
    <col min="3" max="3" width="18" bestFit="1" customWidth="1"/>
    <col min="4" max="4" width="11.42578125" customWidth="1"/>
    <col min="5" max="5" width="11.140625" customWidth="1"/>
    <col min="7" max="7" width="9.7109375" customWidth="1"/>
    <col min="8" max="8" width="14.85546875" customWidth="1"/>
  </cols>
  <sheetData>
    <row r="1" spans="1:8" ht="36.75" thickBot="1" x14ac:dyDescent="0.3">
      <c r="A1" s="38"/>
      <c r="B1" s="131" t="s">
        <v>23</v>
      </c>
      <c r="C1" s="132"/>
      <c r="D1" s="132"/>
      <c r="E1" s="132"/>
      <c r="F1" s="132"/>
      <c r="G1" s="132"/>
      <c r="H1" s="133"/>
    </row>
    <row r="2" spans="1:8" x14ac:dyDescent="0.25">
      <c r="A2" s="35"/>
      <c r="B2" s="134" t="s">
        <v>24</v>
      </c>
      <c r="C2" s="135"/>
      <c r="D2" s="135"/>
      <c r="E2" s="135"/>
      <c r="F2" s="135"/>
      <c r="G2" s="135"/>
      <c r="H2" s="136"/>
    </row>
    <row r="3" spans="1:8" ht="15.75" thickBot="1" x14ac:dyDescent="0.3">
      <c r="A3" s="35"/>
      <c r="B3" s="137"/>
      <c r="C3" s="138"/>
      <c r="D3" s="138"/>
      <c r="E3" s="138"/>
      <c r="F3" s="138"/>
      <c r="G3" s="138"/>
      <c r="H3" s="139"/>
    </row>
    <row r="4" spans="1:8" ht="30" x14ac:dyDescent="0.25">
      <c r="A4" s="35"/>
      <c r="B4" s="45"/>
      <c r="C4" s="36"/>
      <c r="D4" s="36"/>
      <c r="F4" s="150" t="s">
        <v>46</v>
      </c>
      <c r="G4" s="150"/>
      <c r="H4" s="151"/>
    </row>
    <row r="5" spans="1:8" ht="15.75" x14ac:dyDescent="0.25">
      <c r="A5" s="35"/>
      <c r="B5" s="42" t="s">
        <v>0</v>
      </c>
      <c r="H5" s="40"/>
    </row>
    <row r="6" spans="1:8" ht="15.75" x14ac:dyDescent="0.25">
      <c r="A6" s="35"/>
      <c r="B6" s="43" t="s">
        <v>1</v>
      </c>
      <c r="C6" s="33"/>
      <c r="D6" s="33"/>
      <c r="E6" s="37"/>
      <c r="H6" s="40"/>
    </row>
    <row r="7" spans="1:8" ht="15.75" x14ac:dyDescent="0.25">
      <c r="A7" s="35"/>
      <c r="B7" s="46" t="s">
        <v>21</v>
      </c>
      <c r="H7" s="40"/>
    </row>
    <row r="8" spans="1:8" ht="15.75" x14ac:dyDescent="0.25">
      <c r="A8" s="35"/>
      <c r="B8" s="47" t="s">
        <v>22</v>
      </c>
      <c r="H8" s="40"/>
    </row>
    <row r="9" spans="1:8" ht="16.5" thickBot="1" x14ac:dyDescent="0.3">
      <c r="A9" s="35"/>
      <c r="B9" s="42" t="s">
        <v>2</v>
      </c>
      <c r="H9" s="40"/>
    </row>
    <row r="10" spans="1:8" ht="32.25" thickBot="1" x14ac:dyDescent="0.3">
      <c r="A10" s="58"/>
      <c r="B10" s="59" t="s">
        <v>3</v>
      </c>
      <c r="C10" s="60" t="s">
        <v>4</v>
      </c>
      <c r="D10" s="61" t="s">
        <v>7</v>
      </c>
      <c r="E10" s="61" t="s">
        <v>8</v>
      </c>
      <c r="F10" s="61" t="s">
        <v>9</v>
      </c>
      <c r="G10" s="61" t="s">
        <v>10</v>
      </c>
      <c r="H10" s="39" t="s">
        <v>11</v>
      </c>
    </row>
    <row r="11" spans="1:8" ht="15.75" x14ac:dyDescent="0.25">
      <c r="A11" s="50"/>
      <c r="B11" s="34">
        <v>1</v>
      </c>
      <c r="C11" t="s">
        <v>38</v>
      </c>
      <c r="D11" s="62">
        <v>5</v>
      </c>
      <c r="E11">
        <v>8650</v>
      </c>
      <c r="F11" s="62">
        <f>E11*D11</f>
        <v>43250</v>
      </c>
      <c r="G11" s="62">
        <f>F11*18%</f>
        <v>7785</v>
      </c>
      <c r="H11" s="63">
        <f>G11+F11</f>
        <v>51035</v>
      </c>
    </row>
    <row r="12" spans="1:8" ht="15.75" x14ac:dyDescent="0.25">
      <c r="A12" s="51"/>
      <c r="B12" s="6">
        <v>2</v>
      </c>
      <c r="C12" t="s">
        <v>39</v>
      </c>
      <c r="D12" s="64">
        <v>5</v>
      </c>
      <c r="E12">
        <v>5650</v>
      </c>
      <c r="F12" s="64">
        <f t="shared" ref="F12:F19" si="0">E12*D12</f>
        <v>28250</v>
      </c>
      <c r="G12" s="64">
        <f t="shared" ref="G12:G19" si="1">F12*18%</f>
        <v>5085</v>
      </c>
      <c r="H12" s="65">
        <f t="shared" ref="H12:H19" si="2">G12+F12</f>
        <v>33335</v>
      </c>
    </row>
    <row r="13" spans="1:8" ht="15.75" x14ac:dyDescent="0.25">
      <c r="A13" s="51"/>
      <c r="B13" s="6">
        <v>3</v>
      </c>
      <c r="C13" t="s">
        <v>40</v>
      </c>
      <c r="D13" s="64">
        <v>5</v>
      </c>
      <c r="E13">
        <v>9600</v>
      </c>
      <c r="F13" s="64">
        <f t="shared" si="0"/>
        <v>48000</v>
      </c>
      <c r="G13" s="64">
        <f t="shared" si="1"/>
        <v>8640</v>
      </c>
      <c r="H13" s="65">
        <f t="shared" si="2"/>
        <v>56640</v>
      </c>
    </row>
    <row r="14" spans="1:8" ht="15.75" x14ac:dyDescent="0.25">
      <c r="A14" s="51"/>
      <c r="B14" s="6">
        <v>4</v>
      </c>
      <c r="C14" t="s">
        <v>41</v>
      </c>
      <c r="D14" s="64">
        <v>5</v>
      </c>
      <c r="E14">
        <v>6200</v>
      </c>
      <c r="F14" s="64">
        <f t="shared" si="0"/>
        <v>31000</v>
      </c>
      <c r="G14" s="64">
        <f>F14*18%</f>
        <v>5580</v>
      </c>
      <c r="H14" s="65">
        <f>G14+F14</f>
        <v>36580</v>
      </c>
    </row>
    <row r="15" spans="1:8" ht="15.75" x14ac:dyDescent="0.25">
      <c r="A15" s="51"/>
      <c r="B15" s="6">
        <v>5</v>
      </c>
      <c r="C15" t="s">
        <v>42</v>
      </c>
      <c r="D15" s="64">
        <v>5</v>
      </c>
      <c r="E15">
        <v>5200</v>
      </c>
      <c r="F15" s="64">
        <f t="shared" si="0"/>
        <v>26000</v>
      </c>
      <c r="G15" s="64">
        <f t="shared" si="1"/>
        <v>4680</v>
      </c>
      <c r="H15" s="65">
        <f t="shared" si="2"/>
        <v>30680</v>
      </c>
    </row>
    <row r="16" spans="1:8" ht="15.75" x14ac:dyDescent="0.25">
      <c r="A16" s="51"/>
      <c r="B16" s="6">
        <v>6</v>
      </c>
      <c r="C16" t="s">
        <v>43</v>
      </c>
      <c r="D16" s="64">
        <v>5</v>
      </c>
      <c r="E16">
        <v>2200</v>
      </c>
      <c r="F16" s="64">
        <f t="shared" si="0"/>
        <v>11000</v>
      </c>
      <c r="G16" s="64">
        <f t="shared" si="1"/>
        <v>1980</v>
      </c>
      <c r="H16" s="65">
        <f t="shared" si="2"/>
        <v>12980</v>
      </c>
    </row>
    <row r="17" spans="1:8" ht="15.75" x14ac:dyDescent="0.25">
      <c r="A17" s="51"/>
      <c r="B17" s="6">
        <v>7</v>
      </c>
      <c r="C17" t="s">
        <v>44</v>
      </c>
      <c r="D17" s="64">
        <v>5</v>
      </c>
      <c r="E17" s="66">
        <v>1200</v>
      </c>
      <c r="F17" s="64">
        <f t="shared" si="0"/>
        <v>6000</v>
      </c>
      <c r="G17" s="64">
        <f t="shared" si="1"/>
        <v>1080</v>
      </c>
      <c r="H17" s="65">
        <f t="shared" si="2"/>
        <v>7080</v>
      </c>
    </row>
    <row r="18" spans="1:8" ht="15.75" x14ac:dyDescent="0.25">
      <c r="A18" s="51"/>
      <c r="B18" s="6">
        <v>8</v>
      </c>
      <c r="C18" t="s">
        <v>35</v>
      </c>
      <c r="D18" s="64">
        <v>5</v>
      </c>
      <c r="E18">
        <v>9500</v>
      </c>
      <c r="F18" s="64">
        <f t="shared" si="0"/>
        <v>47500</v>
      </c>
      <c r="G18" s="64">
        <f t="shared" si="1"/>
        <v>8550</v>
      </c>
      <c r="H18" s="65">
        <f t="shared" si="2"/>
        <v>56050</v>
      </c>
    </row>
    <row r="19" spans="1:8" ht="15.75" x14ac:dyDescent="0.25">
      <c r="A19" s="51"/>
      <c r="B19" s="6">
        <v>9</v>
      </c>
      <c r="C19" t="s">
        <v>36</v>
      </c>
      <c r="D19" s="64">
        <v>5</v>
      </c>
      <c r="E19">
        <v>850</v>
      </c>
      <c r="F19" s="64">
        <f t="shared" si="0"/>
        <v>4250</v>
      </c>
      <c r="G19" s="64">
        <f t="shared" si="1"/>
        <v>765</v>
      </c>
      <c r="H19" s="65">
        <f t="shared" si="2"/>
        <v>5015</v>
      </c>
    </row>
    <row r="20" spans="1:8" ht="15.75" x14ac:dyDescent="0.25">
      <c r="A20" s="51"/>
      <c r="B20" s="6">
        <v>10</v>
      </c>
      <c r="C20" s="28" t="s">
        <v>37</v>
      </c>
      <c r="D20" s="67">
        <v>5</v>
      </c>
      <c r="E20" s="67">
        <v>490</v>
      </c>
      <c r="F20" s="67">
        <f>E20*D20</f>
        <v>2450</v>
      </c>
      <c r="G20" s="67">
        <f>F20*18%</f>
        <v>441</v>
      </c>
      <c r="H20" s="68">
        <f>G20+F20</f>
        <v>2891</v>
      </c>
    </row>
    <row r="21" spans="1:8" x14ac:dyDescent="0.25">
      <c r="A21" s="51"/>
      <c r="B21" s="140" t="s">
        <v>45</v>
      </c>
      <c r="C21" s="141"/>
      <c r="D21" s="141"/>
      <c r="E21" s="141"/>
      <c r="F21" s="142"/>
      <c r="G21" s="155"/>
      <c r="H21" s="156">
        <f>H20+H19+H18+H17+H16+H15+H14+H13+H12+H11</f>
        <v>292286</v>
      </c>
    </row>
    <row r="22" spans="1:8" ht="15.75" thickBot="1" x14ac:dyDescent="0.3">
      <c r="A22" s="52"/>
      <c r="B22" s="152"/>
      <c r="C22" s="153"/>
      <c r="D22" s="153"/>
      <c r="E22" s="153"/>
      <c r="F22" s="154"/>
      <c r="G22" s="146"/>
      <c r="H22" s="148"/>
    </row>
    <row r="23" spans="1:8" ht="16.5" thickBot="1" x14ac:dyDescent="0.3">
      <c r="A23" s="51"/>
      <c r="B23" s="41"/>
      <c r="C23" s="10"/>
      <c r="D23" s="10"/>
      <c r="E23" s="10"/>
      <c r="F23" s="48"/>
      <c r="G23" s="48"/>
      <c r="H23" s="55"/>
    </row>
    <row r="24" spans="1:8" ht="15.75" x14ac:dyDescent="0.25">
      <c r="A24" s="53"/>
      <c r="B24" s="41" t="s">
        <v>12</v>
      </c>
      <c r="C24" s="10"/>
      <c r="D24" s="10"/>
      <c r="E24" s="10"/>
      <c r="F24" s="10"/>
      <c r="G24" s="10"/>
      <c r="H24" s="55"/>
    </row>
    <row r="25" spans="1:8" ht="15.75" x14ac:dyDescent="0.25">
      <c r="A25" s="51"/>
      <c r="B25" s="42" t="s">
        <v>13</v>
      </c>
      <c r="H25" s="40"/>
    </row>
    <row r="26" spans="1:8" ht="15.75" x14ac:dyDescent="0.25">
      <c r="A26" s="51"/>
      <c r="B26" s="43" t="s">
        <v>14</v>
      </c>
      <c r="C26" s="31"/>
      <c r="D26" s="37"/>
      <c r="H26" s="40"/>
    </row>
    <row r="27" spans="1:8" ht="16.5" thickBot="1" x14ac:dyDescent="0.3">
      <c r="A27" s="51"/>
      <c r="B27" s="44" t="s">
        <v>15</v>
      </c>
      <c r="C27" s="29"/>
      <c r="D27" s="49"/>
      <c r="E27" s="7"/>
      <c r="F27" s="7"/>
      <c r="G27" s="7"/>
      <c r="H27" s="56"/>
    </row>
    <row r="28" spans="1:8" ht="15.75" x14ac:dyDescent="0.25">
      <c r="A28" s="51"/>
      <c r="B28" s="43" t="s">
        <v>25</v>
      </c>
      <c r="C28" s="31"/>
      <c r="D28" s="31"/>
      <c r="E28" s="31"/>
      <c r="F28" s="31"/>
      <c r="G28" s="31"/>
      <c r="H28" s="57"/>
    </row>
    <row r="29" spans="1:8" ht="16.5" thickBot="1" x14ac:dyDescent="0.3">
      <c r="A29" s="54"/>
      <c r="B29" s="44" t="s">
        <v>26</v>
      </c>
      <c r="C29" s="29"/>
      <c r="D29" s="29"/>
      <c r="E29" s="29"/>
      <c r="F29" s="29"/>
      <c r="G29" s="29"/>
      <c r="H29" s="30"/>
    </row>
  </sheetData>
  <mergeCells count="6">
    <mergeCell ref="B1:H1"/>
    <mergeCell ref="B2:H3"/>
    <mergeCell ref="F4:H4"/>
    <mergeCell ref="B21:F22"/>
    <mergeCell ref="G21:G22"/>
    <mergeCell ref="H2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ADITYA COMPUTER</vt:lpstr>
      <vt:lpstr>Mangala It</vt:lpstr>
      <vt:lpstr>GDS Techno Service</vt:lpstr>
      <vt:lpstr>Sheet2</vt:lpstr>
      <vt:lpstr>'GDS Techno Service'!Print_Area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ADMIN</dc:creator>
  <cp:lastModifiedBy>sys admin</cp:lastModifiedBy>
  <cp:lastPrinted>2026-07-06T07:19:41Z</cp:lastPrinted>
  <dcterms:created xsi:type="dcterms:W3CDTF">2023-10-30T05:32:14Z</dcterms:created>
  <dcterms:modified xsi:type="dcterms:W3CDTF">2026-09-15T08:51:25Z</dcterms:modified>
</cp:coreProperties>
</file>